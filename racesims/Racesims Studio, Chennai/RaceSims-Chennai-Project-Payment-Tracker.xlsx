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indwise.ai/Desktop/"/>
    </mc:Choice>
  </mc:AlternateContent>
  <xr:revisionPtr revIDLastSave="0" documentId="11_A27078A49042BC6EE34AC0555E5DCE3A674434C3" xr6:coauthVersionLast="47" xr6:coauthVersionMax="47" xr10:uidLastSave="{00000000-0000-0000-0000-000000000000}"/>
  <bookViews>
    <workbookView xWindow="0" yWindow="600" windowWidth="38400" windowHeight="21940" xr2:uid="{00000000-000D-0000-FFFF-FFFF00000000}"/>
  </bookViews>
  <sheets>
    <sheet name="Project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E43" i="1"/>
  <c r="G43" i="1" s="1"/>
  <c r="G39" i="1"/>
  <c r="G38" i="1"/>
  <c r="F36" i="1"/>
  <c r="E36" i="1"/>
  <c r="G36" i="1" s="1"/>
  <c r="G35" i="1"/>
  <c r="G34" i="1"/>
  <c r="G33" i="1"/>
  <c r="G32" i="1"/>
  <c r="F30" i="1"/>
  <c r="E30" i="1"/>
  <c r="G30" i="1" s="1"/>
  <c r="G29" i="1"/>
  <c r="G28" i="1"/>
  <c r="G27" i="1"/>
  <c r="G26" i="1"/>
  <c r="G25" i="1"/>
  <c r="F23" i="1"/>
  <c r="E23" i="1"/>
  <c r="G23" i="1" s="1"/>
  <c r="G22" i="1"/>
  <c r="G21" i="1"/>
  <c r="F19" i="1"/>
  <c r="F57" i="1" s="1"/>
  <c r="E19" i="1"/>
  <c r="E57" i="1" s="1"/>
  <c r="G57" i="1" s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 l="1"/>
</calcChain>
</file>

<file path=xl/sharedStrings.xml><?xml version="1.0" encoding="utf-8"?>
<sst xmlns="http://schemas.openxmlformats.org/spreadsheetml/2006/main" count="147" uniqueCount="123">
  <si>
    <t>RaceSims Chennai Studio — Payment Tracker</t>
  </si>
  <si>
    <t>As of 30 June 2026 · 1,146 sq ft Ground Floor · 8 Simulator Rigs</t>
  </si>
  <si>
    <t>#</t>
  </si>
  <si>
    <t>Item / Description</t>
  </si>
  <si>
    <t>Qty</t>
  </si>
  <si>
    <t>Unit Price</t>
  </si>
  <si>
    <t>Total (incl. GST)</t>
  </si>
  <si>
    <t>Paid So Far</t>
  </si>
  <si>
    <t>Balance</t>
  </si>
  <si>
    <t>Notes / Rigs</t>
  </si>
  <si>
    <t>1A  ·  Navkar Computers — PC &amp; Monitor Quote  ·  Ref: Navkar_Quote_Converted.xlsx  ·  19 Jun 2026</t>
  </si>
  <si>
    <t>1</t>
  </si>
  <si>
    <t>LG XENEON FLEX 45" OLED Monitor (CWBQ65)</t>
  </si>
  <si>
    <t>SIM-08 (hero rig)</t>
  </si>
  <si>
    <t>2</t>
  </si>
  <si>
    <t>MSI MAG 275F 27" 200Hz Monitor</t>
  </si>
  <si>
    <t>SIM-01</t>
  </si>
  <si>
    <t>3</t>
  </si>
  <si>
    <t>AMD Ryzen 9 9800X3D Processor</t>
  </si>
  <si>
    <t>SIM-03/04/05/06/07</t>
  </si>
  <si>
    <t>4</t>
  </si>
  <si>
    <t>AMD Ryzen 7 9700X Processor</t>
  </si>
  <si>
    <t>5</t>
  </si>
  <si>
    <t>Gigabyte B850 Motherboard</t>
  </si>
  <si>
    <t>SIM-01/03/04/05/06/07</t>
  </si>
  <si>
    <t>6</t>
  </si>
  <si>
    <t>Corsair Nautilus 360 AIO Cooler  ★ SPARE</t>
  </si>
  <si>
    <t>6 needed + 3 spare sets</t>
  </si>
  <si>
    <t>7</t>
  </si>
  <si>
    <t>Corsair Vengeance 32GB DDR5 RAM  ★ SPARE</t>
  </si>
  <si>
    <t>8</t>
  </si>
  <si>
    <t>Corsair MP600 Pro 1TB NVMe SSD  ★ SPARE</t>
  </si>
  <si>
    <t>9</t>
  </si>
  <si>
    <t>NVIDIA RTX 5070 Ti GPU</t>
  </si>
  <si>
    <t>SIM-04/05/06  (SIM-03 in stock ★)</t>
  </si>
  <si>
    <t>10</t>
  </si>
  <si>
    <t>NVIDIA RTX 5070 TWIN GPU</t>
  </si>
  <si>
    <t>11</t>
  </si>
  <si>
    <t>Corsair RM850e PSU  ★ SPARE</t>
  </si>
  <si>
    <t>5 builds + 3 spare</t>
  </si>
  <si>
    <t>12</t>
  </si>
  <si>
    <t>Corsair RM1000e PSU</t>
  </si>
  <si>
    <t>SIM-07 (high-draw rig)</t>
  </si>
  <si>
    <t>13</t>
  </si>
  <si>
    <t>Corsair 3500X Cabinet  ★ SPARE</t>
  </si>
  <si>
    <t>6 needed + 2 spare</t>
  </si>
  <si>
    <t>14</t>
  </si>
  <si>
    <t>Corsair 4000D Cabinet  ★ SPARE</t>
  </si>
  <si>
    <t>1 spare unit</t>
  </si>
  <si>
    <t>1A Subtotal — Navkar</t>
  </si>
  <si>
    <t>1B  ·  Purchased Separately — Already Paid</t>
  </si>
  <si>
    <t>15</t>
  </si>
  <si>
    <t>Samsung monitors 32" (Odyssey G5 / G6 mix)</t>
  </si>
  <si>
    <t>SIM-03/04/05/06/07  (3× per rig)</t>
  </si>
  <si>
    <t>16</t>
  </si>
  <si>
    <t>NVIDIA RTX 5080 Founders Edition</t>
  </si>
  <si>
    <t>SIM-07</t>
  </si>
  <si>
    <t>1B Subtotal — Purchased Separately</t>
  </si>
  <si>
    <t>2  ·  Air Conditioning  ·  Subhashree Solutions  ·  Ref: SSS/NEW AC/LEAD NO-0071/26-27  ·  Rev03  ·  25 Jun 2026</t>
  </si>
  <si>
    <t>17</t>
  </si>
  <si>
    <t>LG 4-Way Cassette AC 4.0 TR R32 Single Phase</t>
  </si>
  <si>
    <t>Main sim floor (open area)</t>
  </si>
  <si>
    <t>18</t>
  </si>
  <si>
    <t>LG Hi-Wall Split 1.5 TR 5-Star R32 Single Phase</t>
  </si>
  <si>
    <t>Office / training room</t>
  </si>
  <si>
    <t>19</t>
  </si>
  <si>
    <t>AC equipment GST @ 18%</t>
  </si>
  <si>
    <t>On equipment subtotal ₹2,54,062</t>
  </si>
  <si>
    <t>20</t>
  </si>
  <si>
    <t>AC installation, materials &amp; commissioning</t>
  </si>
  <si>
    <t>Copper pipe, drain, cabling, N2 testing</t>
  </si>
  <si>
    <t>21</t>
  </si>
  <si>
    <t>Installation GST @ 18%</t>
  </si>
  <si>
    <t>On install subtotal ₹71,850</t>
  </si>
  <si>
    <t>AC Total (A+B incl. GST)</t>
  </si>
  <si>
    <t>3  ·  UPS &amp; Batteries  ·  Soundry Power Systems  ·  Ref: SPS/369R1/26-27  ·  09 Jun 2026</t>
  </si>
  <si>
    <t>22</t>
  </si>
  <si>
    <t>APC 10KVA Online UPS (SRV10KUXI-IN)</t>
  </si>
  <si>
    <t>Main power protection</t>
  </si>
  <si>
    <t>23</t>
  </si>
  <si>
    <t>Exide PowerSafe 26Ah SMF Battery 12V</t>
  </si>
  <si>
    <t>Battery bank</t>
  </si>
  <si>
    <t>24</t>
  </si>
  <si>
    <t>Top Closed Rack + Interlinks + Cables</t>
  </si>
  <si>
    <t>Incl. delivery + installation</t>
  </si>
  <si>
    <t>25</t>
  </si>
  <si>
    <t>UPS GST @ 18%</t>
  </si>
  <si>
    <t>On sub-total ₹1,60,000</t>
  </si>
  <si>
    <t>UPS Total (incl. 18% GST)</t>
  </si>
  <si>
    <t>4  ·  Electrical, Design &amp; Communications</t>
  </si>
  <si>
    <t>26</t>
  </si>
  <si>
    <t>Designer fee — Sorted Agency</t>
  </si>
  <si>
    <t>Design charges — COMPLETED</t>
  </si>
  <si>
    <t>27</t>
  </si>
  <si>
    <t>Electrical advance — GuruMoorthy / Venus Electricals</t>
  </si>
  <si>
    <t>Advance for material procurement</t>
  </si>
  <si>
    <t>28</t>
  </si>
  <si>
    <t>Electrical balance + labour (GuruMoorthy)</t>
  </si>
  <si>
    <t>Pending final quote</t>
  </si>
  <si>
    <t>29</t>
  </si>
  <si>
    <t>Lighting — LED panels</t>
  </si>
  <si>
    <t>Pending quote</t>
  </si>
  <si>
    <t>30</t>
  </si>
  <si>
    <t>TP-Link CCTV / data network / WiFi</t>
  </si>
  <si>
    <t>Site visit done — quote pending</t>
  </si>
  <si>
    <t>4 Subtotal (known paid only)</t>
  </si>
  <si>
    <t>5  ·  Pending Fit-Out (quotes not yet received)</t>
  </si>
  <si>
    <t>31</t>
  </si>
  <si>
    <t>Interior woodwork / joinery</t>
  </si>
  <si>
    <t>—</t>
  </si>
  <si>
    <t>Flooring (tiled carpet)</t>
  </si>
  <si>
    <t>Painting</t>
  </si>
  <si>
    <t>Reception desk / counter</t>
  </si>
  <si>
    <t>Pantry / kitchenette</t>
  </si>
  <si>
    <t>Doors / locks</t>
  </si>
  <si>
    <t>Rig platforms / podiums</t>
  </si>
  <si>
    <t>Fire safety (extinguishers + alarm)</t>
  </si>
  <si>
    <t>Plumbing</t>
  </si>
  <si>
    <t>Signage (exterior + interior)</t>
  </si>
  <si>
    <t>Miscellaneous / contingency</t>
  </si>
  <si>
    <t>GRAND TOTAL (all quoted lines)</t>
  </si>
  <si>
    <t>+ Section 5 pending quotes</t>
  </si>
  <si>
    <t>★  ₹2,63,199 embedded in Navkar order as spare components (3× cooler/RAM/SSD, 3× PSU, 2× 3500X + 1× 4000D cabinet) — confirm keep or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</si>
</sst>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8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0"/>
      <color rgb="FF888888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888888"/>
      <name val="Calibri"/>
      <family val="2"/>
    </font>
    <font>
      <sz val="9"/>
      <color rgb="FF666666"/>
      <name val="Calibri"/>
      <family val="2"/>
    </font>
    <font>
      <sz val="10"/>
      <color rgb="FF5E35B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rgb="FF1B7A4F"/>
      <name val="Calibri"/>
      <family val="2"/>
    </font>
    <font>
      <b/>
      <sz val="11"/>
      <color rgb="FFC55A11"/>
      <name val="Calibri"/>
      <family val="2"/>
    </font>
    <font>
      <sz val="11"/>
      <color rgb="FF1B7A4F"/>
      <name val="Calibri"/>
      <family val="2"/>
    </font>
    <font>
      <b/>
      <sz val="12"/>
      <color rgb="FFFFFFFF"/>
      <name val="Calibri"/>
      <family val="2"/>
    </font>
    <font>
      <b/>
      <sz val="12"/>
      <color rgb="FF90EE90"/>
      <name val="Calibri"/>
      <family val="2"/>
    </font>
    <font>
      <b/>
      <sz val="12"/>
      <color rgb="FFFFD700"/>
      <name val="Calibri"/>
      <family val="2"/>
    </font>
    <font>
      <i/>
      <sz val="11"/>
      <color rgb="FFFFFFFF"/>
      <name val="Calibri"/>
      <family val="2"/>
    </font>
    <font>
      <i/>
      <sz val="10"/>
      <color rgb="FF5E35B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DE7F6"/>
      </patternFill>
    </fill>
    <fill>
      <patternFill patternType="solid">
        <fgColor rgb="FFDEEAF1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7F7F7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0" fillId="5" borderId="2" xfId="0" applyFill="1" applyBorder="1"/>
    <xf numFmtId="164" fontId="9" fillId="5" borderId="2" xfId="0" applyNumberFormat="1" applyFont="1" applyFill="1" applyBorder="1"/>
    <xf numFmtId="164" fontId="10" fillId="5" borderId="2" xfId="0" applyNumberFormat="1" applyFont="1" applyFill="1" applyBorder="1"/>
    <xf numFmtId="164" fontId="11" fillId="5" borderId="2" xfId="0" applyNumberFormat="1" applyFont="1" applyFill="1" applyBorder="1"/>
    <xf numFmtId="164" fontId="10" fillId="0" borderId="1" xfId="0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164" fontId="13" fillId="2" borderId="0" xfId="0" applyNumberFormat="1" applyFont="1" applyFill="1"/>
    <xf numFmtId="164" fontId="14" fillId="2" borderId="0" xfId="0" applyNumberFormat="1" applyFont="1" applyFill="1"/>
    <xf numFmtId="164" fontId="15" fillId="2" borderId="0" xfId="0" applyNumberFormat="1" applyFont="1" applyFill="1"/>
    <xf numFmtId="0" fontId="16" fillId="2" borderId="0" xfId="0" applyFont="1" applyFill="1"/>
    <xf numFmtId="0" fontId="4" fillId="3" borderId="0" xfId="0" applyFont="1" applyFill="1" applyAlignment="1">
      <alignment horizontal="left" vertical="center"/>
    </xf>
    <xf numFmtId="0" fontId="0" fillId="0" borderId="0" xfId="0"/>
    <xf numFmtId="0" fontId="8" fillId="5" borderId="2" xfId="0" applyFont="1" applyFill="1" applyBorder="1"/>
    <xf numFmtId="0" fontId="0" fillId="0" borderId="3" xfId="0" applyBorder="1"/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2" fillId="0" borderId="0" xfId="0" applyFont="1"/>
    <xf numFmtId="0" fontId="13" fillId="2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1" fillId="0" borderId="0" xfId="0" applyFont="1"/>
    <xf numFmtId="0" fontId="4" fillId="2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6" customWidth="1"/>
    <col min="2" max="2" width="38" customWidth="1"/>
    <col min="3" max="3" width="8" customWidth="1"/>
    <col min="4" max="7" width="14" customWidth="1"/>
    <col min="8" max="8" width="28" customWidth="1"/>
  </cols>
  <sheetData>
    <row r="1" spans="1:8" ht="28" customHeight="1" x14ac:dyDescent="0.25">
      <c r="A1" s="31" t="s">
        <v>0</v>
      </c>
      <c r="B1" s="23"/>
      <c r="C1" s="23"/>
      <c r="D1" s="23"/>
      <c r="E1" s="23"/>
      <c r="F1" s="23"/>
      <c r="G1" s="23"/>
      <c r="H1" s="23"/>
    </row>
    <row r="2" spans="1:8" ht="16" customHeight="1" x14ac:dyDescent="0.2">
      <c r="A2" s="28" t="s">
        <v>1</v>
      </c>
      <c r="B2" s="23"/>
      <c r="C2" s="23"/>
      <c r="D2" s="23"/>
      <c r="E2" s="23"/>
      <c r="F2" s="23"/>
      <c r="G2" s="23"/>
      <c r="H2" s="23"/>
    </row>
    <row r="3" spans="1:8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8" customHeight="1" x14ac:dyDescent="0.2">
      <c r="A4" s="22" t="s">
        <v>10</v>
      </c>
      <c r="B4" s="23"/>
      <c r="C4" s="23"/>
      <c r="D4" s="23"/>
      <c r="E4" s="23"/>
      <c r="F4" s="23"/>
      <c r="G4" s="23"/>
      <c r="H4" s="23"/>
    </row>
    <row r="5" spans="1:8" ht="17" customHeight="1" x14ac:dyDescent="0.2">
      <c r="A5" s="2" t="s">
        <v>11</v>
      </c>
      <c r="B5" s="3" t="s">
        <v>12</v>
      </c>
      <c r="C5" s="4">
        <v>3</v>
      </c>
      <c r="D5" s="5">
        <v>124999</v>
      </c>
      <c r="E5" s="5">
        <v>374999</v>
      </c>
      <c r="F5" s="5"/>
      <c r="G5" s="5">
        <f t="shared" ref="G5:G19" si="0">E5-F5</f>
        <v>374999</v>
      </c>
      <c r="H5" s="6" t="s">
        <v>13</v>
      </c>
    </row>
    <row r="6" spans="1:8" ht="17" customHeight="1" x14ac:dyDescent="0.2">
      <c r="A6" s="2" t="s">
        <v>14</v>
      </c>
      <c r="B6" s="3" t="s">
        <v>15</v>
      </c>
      <c r="C6" s="4">
        <v>3</v>
      </c>
      <c r="D6" s="5">
        <v>11210</v>
      </c>
      <c r="E6" s="5">
        <v>33630</v>
      </c>
      <c r="F6" s="5"/>
      <c r="G6" s="5">
        <f t="shared" si="0"/>
        <v>33630</v>
      </c>
      <c r="H6" s="6" t="s">
        <v>16</v>
      </c>
    </row>
    <row r="7" spans="1:8" ht="17" customHeight="1" x14ac:dyDescent="0.2">
      <c r="A7" s="2" t="s">
        <v>17</v>
      </c>
      <c r="B7" s="3" t="s">
        <v>18</v>
      </c>
      <c r="C7" s="4">
        <v>5</v>
      </c>
      <c r="D7" s="5">
        <v>47790</v>
      </c>
      <c r="E7" s="5">
        <v>238950</v>
      </c>
      <c r="F7" s="5"/>
      <c r="G7" s="5">
        <f t="shared" si="0"/>
        <v>238950</v>
      </c>
      <c r="H7" s="6" t="s">
        <v>19</v>
      </c>
    </row>
    <row r="8" spans="1:8" ht="17" customHeight="1" x14ac:dyDescent="0.2">
      <c r="A8" s="2" t="s">
        <v>20</v>
      </c>
      <c r="B8" s="3" t="s">
        <v>21</v>
      </c>
      <c r="C8" s="4">
        <v>1</v>
      </c>
      <c r="D8" s="5">
        <v>30975</v>
      </c>
      <c r="E8" s="5">
        <v>30975</v>
      </c>
      <c r="F8" s="5"/>
      <c r="G8" s="5">
        <f t="shared" si="0"/>
        <v>30975</v>
      </c>
      <c r="H8" s="6" t="s">
        <v>16</v>
      </c>
    </row>
    <row r="9" spans="1:8" ht="17" customHeight="1" x14ac:dyDescent="0.2">
      <c r="A9" s="2" t="s">
        <v>22</v>
      </c>
      <c r="B9" s="3" t="s">
        <v>23</v>
      </c>
      <c r="C9" s="4">
        <v>6</v>
      </c>
      <c r="D9" s="5">
        <v>17464</v>
      </c>
      <c r="E9" s="5">
        <v>104784</v>
      </c>
      <c r="F9" s="5"/>
      <c r="G9" s="5">
        <f t="shared" si="0"/>
        <v>104784</v>
      </c>
      <c r="H9" s="6" t="s">
        <v>24</v>
      </c>
    </row>
    <row r="10" spans="1:8" ht="17" customHeight="1" x14ac:dyDescent="0.2">
      <c r="A10" s="7" t="s">
        <v>25</v>
      </c>
      <c r="B10" s="8" t="s">
        <v>26</v>
      </c>
      <c r="C10" s="9">
        <v>9</v>
      </c>
      <c r="D10" s="10">
        <v>8083</v>
      </c>
      <c r="E10" s="10">
        <v>72747</v>
      </c>
      <c r="F10" s="10"/>
      <c r="G10" s="10">
        <f t="shared" si="0"/>
        <v>72747</v>
      </c>
      <c r="H10" s="11" t="s">
        <v>27</v>
      </c>
    </row>
    <row r="11" spans="1:8" ht="17" customHeight="1" x14ac:dyDescent="0.2">
      <c r="A11" s="7" t="s">
        <v>28</v>
      </c>
      <c r="B11" s="8" t="s">
        <v>29</v>
      </c>
      <c r="C11" s="9">
        <v>9</v>
      </c>
      <c r="D11" s="10">
        <v>43070</v>
      </c>
      <c r="E11" s="10">
        <v>387630</v>
      </c>
      <c r="F11" s="10"/>
      <c r="G11" s="10">
        <f t="shared" si="0"/>
        <v>387630</v>
      </c>
      <c r="H11" s="11" t="s">
        <v>27</v>
      </c>
    </row>
    <row r="12" spans="1:8" ht="17" customHeight="1" x14ac:dyDescent="0.2">
      <c r="A12" s="7" t="s">
        <v>30</v>
      </c>
      <c r="B12" s="8" t="s">
        <v>31</v>
      </c>
      <c r="C12" s="9">
        <v>9</v>
      </c>
      <c r="D12" s="10">
        <v>17700</v>
      </c>
      <c r="E12" s="10">
        <v>159300</v>
      </c>
      <c r="F12" s="10"/>
      <c r="G12" s="10">
        <f t="shared" si="0"/>
        <v>159300</v>
      </c>
      <c r="H12" s="11" t="s">
        <v>27</v>
      </c>
    </row>
    <row r="13" spans="1:8" ht="17" customHeight="1" x14ac:dyDescent="0.2">
      <c r="A13" s="2" t="s">
        <v>32</v>
      </c>
      <c r="B13" s="3" t="s">
        <v>33</v>
      </c>
      <c r="C13" s="4">
        <v>3</v>
      </c>
      <c r="D13" s="5">
        <v>112100</v>
      </c>
      <c r="E13" s="5">
        <v>336300</v>
      </c>
      <c r="F13" s="5"/>
      <c r="G13" s="5">
        <f t="shared" si="0"/>
        <v>336300</v>
      </c>
      <c r="H13" s="6" t="s">
        <v>34</v>
      </c>
    </row>
    <row r="14" spans="1:8" ht="17" customHeight="1" x14ac:dyDescent="0.2">
      <c r="A14" s="2" t="s">
        <v>35</v>
      </c>
      <c r="B14" s="3" t="s">
        <v>36</v>
      </c>
      <c r="C14" s="4">
        <v>1</v>
      </c>
      <c r="D14" s="5">
        <v>71980</v>
      </c>
      <c r="E14" s="5">
        <v>71980</v>
      </c>
      <c r="F14" s="5"/>
      <c r="G14" s="5">
        <f t="shared" si="0"/>
        <v>71980</v>
      </c>
      <c r="H14" s="6" t="s">
        <v>16</v>
      </c>
    </row>
    <row r="15" spans="1:8" ht="17" customHeight="1" x14ac:dyDescent="0.2">
      <c r="A15" s="7" t="s">
        <v>37</v>
      </c>
      <c r="B15" s="8" t="s">
        <v>38</v>
      </c>
      <c r="C15" s="9">
        <v>8</v>
      </c>
      <c r="D15" s="10">
        <v>10325</v>
      </c>
      <c r="E15" s="10">
        <v>82600</v>
      </c>
      <c r="F15" s="10"/>
      <c r="G15" s="10">
        <f t="shared" si="0"/>
        <v>82600</v>
      </c>
      <c r="H15" s="11" t="s">
        <v>39</v>
      </c>
    </row>
    <row r="16" spans="1:8" ht="17" customHeight="1" x14ac:dyDescent="0.2">
      <c r="A16" s="2" t="s">
        <v>40</v>
      </c>
      <c r="B16" s="3" t="s">
        <v>41</v>
      </c>
      <c r="C16" s="4">
        <v>1</v>
      </c>
      <c r="D16" s="5">
        <v>17110</v>
      </c>
      <c r="E16" s="5">
        <v>17110</v>
      </c>
      <c r="F16" s="5"/>
      <c r="G16" s="5">
        <f t="shared" si="0"/>
        <v>17110</v>
      </c>
      <c r="H16" s="6" t="s">
        <v>42</v>
      </c>
    </row>
    <row r="17" spans="1:8" ht="17" customHeight="1" x14ac:dyDescent="0.2">
      <c r="A17" s="7" t="s">
        <v>43</v>
      </c>
      <c r="B17" s="8" t="s">
        <v>44</v>
      </c>
      <c r="C17" s="9">
        <v>8</v>
      </c>
      <c r="D17" s="10">
        <v>8555</v>
      </c>
      <c r="E17" s="10">
        <v>68440</v>
      </c>
      <c r="F17" s="10"/>
      <c r="G17" s="10">
        <f t="shared" si="0"/>
        <v>68440</v>
      </c>
      <c r="H17" s="11" t="s">
        <v>45</v>
      </c>
    </row>
    <row r="18" spans="1:8" ht="17" customHeight="1" x14ac:dyDescent="0.2">
      <c r="A18" s="7" t="s">
        <v>46</v>
      </c>
      <c r="B18" s="8" t="s">
        <v>47</v>
      </c>
      <c r="C18" s="9">
        <v>1</v>
      </c>
      <c r="D18" s="10">
        <v>8555</v>
      </c>
      <c r="E18" s="10">
        <v>8555</v>
      </c>
      <c r="F18" s="10"/>
      <c r="G18" s="10">
        <f t="shared" si="0"/>
        <v>8555</v>
      </c>
      <c r="H18" s="11" t="s">
        <v>48</v>
      </c>
    </row>
    <row r="19" spans="1:8" ht="18" customHeight="1" x14ac:dyDescent="0.2">
      <c r="A19" s="24" t="s">
        <v>49</v>
      </c>
      <c r="B19" s="25"/>
      <c r="C19" s="25"/>
      <c r="D19" s="12"/>
      <c r="E19" s="13">
        <f>SUM(E5:E18)</f>
        <v>1988000</v>
      </c>
      <c r="F19" s="14">
        <f>SUM(F5:F18)</f>
        <v>0</v>
      </c>
      <c r="G19" s="15">
        <f t="shared" si="0"/>
        <v>1988000</v>
      </c>
      <c r="H19" s="12"/>
    </row>
    <row r="20" spans="1:8" ht="18" customHeight="1" x14ac:dyDescent="0.2">
      <c r="A20" s="26" t="s">
        <v>50</v>
      </c>
      <c r="B20" s="23"/>
      <c r="C20" s="23"/>
      <c r="D20" s="23"/>
      <c r="E20" s="23"/>
      <c r="F20" s="23"/>
      <c r="G20" s="23"/>
      <c r="H20" s="23"/>
    </row>
    <row r="21" spans="1:8" ht="17" customHeight="1" x14ac:dyDescent="0.2">
      <c r="A21" s="2" t="s">
        <v>51</v>
      </c>
      <c r="B21" s="3" t="s">
        <v>52</v>
      </c>
      <c r="C21" s="4">
        <v>9</v>
      </c>
      <c r="D21" s="5">
        <v>20750</v>
      </c>
      <c r="E21" s="5">
        <v>186750</v>
      </c>
      <c r="F21" s="16">
        <v>186750</v>
      </c>
      <c r="G21" s="17">
        <f>E21-F21</f>
        <v>0</v>
      </c>
      <c r="H21" s="6" t="s">
        <v>53</v>
      </c>
    </row>
    <row r="22" spans="1:8" ht="17" customHeight="1" x14ac:dyDescent="0.2">
      <c r="A22" s="2" t="s">
        <v>54</v>
      </c>
      <c r="B22" s="3" t="s">
        <v>55</v>
      </c>
      <c r="C22" s="4">
        <v>1</v>
      </c>
      <c r="D22" s="5">
        <v>116000</v>
      </c>
      <c r="E22" s="5">
        <v>116000</v>
      </c>
      <c r="F22" s="16">
        <v>116000</v>
      </c>
      <c r="G22" s="17">
        <f>E22-F22</f>
        <v>0</v>
      </c>
      <c r="H22" s="6" t="s">
        <v>56</v>
      </c>
    </row>
    <row r="23" spans="1:8" ht="18" customHeight="1" x14ac:dyDescent="0.2">
      <c r="A23" s="24" t="s">
        <v>57</v>
      </c>
      <c r="B23" s="25"/>
      <c r="C23" s="25"/>
      <c r="D23" s="12"/>
      <c r="E23" s="13">
        <f>SUM(E21:E22)</f>
        <v>302750</v>
      </c>
      <c r="F23" s="14">
        <f>SUM(F21:F22)</f>
        <v>302750</v>
      </c>
      <c r="G23" s="15">
        <f>E23-F23</f>
        <v>0</v>
      </c>
      <c r="H23" s="12"/>
    </row>
    <row r="24" spans="1:8" ht="18" customHeight="1" x14ac:dyDescent="0.2">
      <c r="A24" s="27" t="s">
        <v>58</v>
      </c>
      <c r="B24" s="23"/>
      <c r="C24" s="23"/>
      <c r="D24" s="23"/>
      <c r="E24" s="23"/>
      <c r="F24" s="23"/>
      <c r="G24" s="23"/>
      <c r="H24" s="23"/>
    </row>
    <row r="25" spans="1:8" ht="17" customHeight="1" x14ac:dyDescent="0.2">
      <c r="A25" s="2" t="s">
        <v>59</v>
      </c>
      <c r="B25" s="3" t="s">
        <v>60</v>
      </c>
      <c r="C25" s="4">
        <v>2</v>
      </c>
      <c r="D25" s="5">
        <v>108920</v>
      </c>
      <c r="E25" s="5">
        <v>217840</v>
      </c>
      <c r="F25" s="5"/>
      <c r="G25" s="5">
        <f t="shared" ref="G25:G30" si="1">E25-F25</f>
        <v>217840</v>
      </c>
      <c r="H25" s="6" t="s">
        <v>61</v>
      </c>
    </row>
    <row r="26" spans="1:8" ht="17" customHeight="1" x14ac:dyDescent="0.2">
      <c r="A26" s="2" t="s">
        <v>62</v>
      </c>
      <c r="B26" s="3" t="s">
        <v>63</v>
      </c>
      <c r="C26" s="4">
        <v>1</v>
      </c>
      <c r="D26" s="5">
        <v>36222</v>
      </c>
      <c r="E26" s="5">
        <v>36222</v>
      </c>
      <c r="F26" s="5"/>
      <c r="G26" s="5">
        <f t="shared" si="1"/>
        <v>36222</v>
      </c>
      <c r="H26" s="6" t="s">
        <v>64</v>
      </c>
    </row>
    <row r="27" spans="1:8" ht="17" customHeight="1" x14ac:dyDescent="0.2">
      <c r="A27" s="2" t="s">
        <v>65</v>
      </c>
      <c r="B27" s="3" t="s">
        <v>66</v>
      </c>
      <c r="C27" s="4"/>
      <c r="D27" s="5"/>
      <c r="E27" s="5">
        <v>45731</v>
      </c>
      <c r="F27" s="5"/>
      <c r="G27" s="5">
        <f t="shared" si="1"/>
        <v>45731</v>
      </c>
      <c r="H27" s="6" t="s">
        <v>67</v>
      </c>
    </row>
    <row r="28" spans="1:8" ht="17" customHeight="1" x14ac:dyDescent="0.2">
      <c r="A28" s="2" t="s">
        <v>68</v>
      </c>
      <c r="B28" s="3" t="s">
        <v>69</v>
      </c>
      <c r="C28" s="4"/>
      <c r="D28" s="5"/>
      <c r="E28" s="5">
        <v>71850</v>
      </c>
      <c r="F28" s="5"/>
      <c r="G28" s="5">
        <f t="shared" si="1"/>
        <v>71850</v>
      </c>
      <c r="H28" s="6" t="s">
        <v>70</v>
      </c>
    </row>
    <row r="29" spans="1:8" ht="17" customHeight="1" x14ac:dyDescent="0.2">
      <c r="A29" s="2" t="s">
        <v>71</v>
      </c>
      <c r="B29" s="3" t="s">
        <v>72</v>
      </c>
      <c r="C29" s="4"/>
      <c r="D29" s="5"/>
      <c r="E29" s="5">
        <v>12933</v>
      </c>
      <c r="F29" s="5"/>
      <c r="G29" s="5">
        <f t="shared" si="1"/>
        <v>12933</v>
      </c>
      <c r="H29" s="6" t="s">
        <v>73</v>
      </c>
    </row>
    <row r="30" spans="1:8" ht="18" customHeight="1" x14ac:dyDescent="0.2">
      <c r="A30" s="24" t="s">
        <v>74</v>
      </c>
      <c r="B30" s="25"/>
      <c r="C30" s="25"/>
      <c r="D30" s="12"/>
      <c r="E30" s="13">
        <f>SUM(E25:E29)</f>
        <v>384576</v>
      </c>
      <c r="F30" s="14">
        <f>SUM(F25:F29)</f>
        <v>0</v>
      </c>
      <c r="G30" s="15">
        <f t="shared" si="1"/>
        <v>384576</v>
      </c>
      <c r="H30" s="12"/>
    </row>
    <row r="31" spans="1:8" ht="18" customHeight="1" x14ac:dyDescent="0.2">
      <c r="A31" s="26" t="s">
        <v>75</v>
      </c>
      <c r="B31" s="23"/>
      <c r="C31" s="23"/>
      <c r="D31" s="23"/>
      <c r="E31" s="23"/>
      <c r="F31" s="23"/>
      <c r="G31" s="23"/>
      <c r="H31" s="23"/>
    </row>
    <row r="32" spans="1:8" ht="17" customHeight="1" x14ac:dyDescent="0.2">
      <c r="A32" s="2" t="s">
        <v>76</v>
      </c>
      <c r="B32" s="3" t="s">
        <v>77</v>
      </c>
      <c r="C32" s="4">
        <v>1</v>
      </c>
      <c r="D32" s="5">
        <v>113000</v>
      </c>
      <c r="E32" s="5">
        <v>113000</v>
      </c>
      <c r="F32" s="5"/>
      <c r="G32" s="5">
        <f>E32-F32</f>
        <v>113000</v>
      </c>
      <c r="H32" s="6" t="s">
        <v>78</v>
      </c>
    </row>
    <row r="33" spans="1:8" ht="17" customHeight="1" x14ac:dyDescent="0.2">
      <c r="A33" s="2" t="s">
        <v>79</v>
      </c>
      <c r="B33" s="3" t="s">
        <v>80</v>
      </c>
      <c r="C33" s="4">
        <v>16</v>
      </c>
      <c r="D33" s="5">
        <v>2600</v>
      </c>
      <c r="E33" s="5">
        <v>41600</v>
      </c>
      <c r="F33" s="5"/>
      <c r="G33" s="5">
        <f>E33-F33</f>
        <v>41600</v>
      </c>
      <c r="H33" s="6" t="s">
        <v>81</v>
      </c>
    </row>
    <row r="34" spans="1:8" ht="17" customHeight="1" x14ac:dyDescent="0.2">
      <c r="A34" s="2" t="s">
        <v>82</v>
      </c>
      <c r="B34" s="3" t="s">
        <v>83</v>
      </c>
      <c r="C34" s="4">
        <v>1</v>
      </c>
      <c r="D34" s="5">
        <v>5400</v>
      </c>
      <c r="E34" s="5">
        <v>5400</v>
      </c>
      <c r="F34" s="5"/>
      <c r="G34" s="5">
        <f>E34-F34</f>
        <v>5400</v>
      </c>
      <c r="H34" s="6" t="s">
        <v>84</v>
      </c>
    </row>
    <row r="35" spans="1:8" ht="17" customHeight="1" x14ac:dyDescent="0.2">
      <c r="A35" s="2" t="s">
        <v>85</v>
      </c>
      <c r="B35" s="3" t="s">
        <v>86</v>
      </c>
      <c r="C35" s="4"/>
      <c r="D35" s="5"/>
      <c r="E35" s="5">
        <v>28800</v>
      </c>
      <c r="F35" s="5"/>
      <c r="G35" s="5">
        <f>E35-F35</f>
        <v>28800</v>
      </c>
      <c r="H35" s="6" t="s">
        <v>87</v>
      </c>
    </row>
    <row r="36" spans="1:8" ht="18" customHeight="1" x14ac:dyDescent="0.2">
      <c r="A36" s="24" t="s">
        <v>88</v>
      </c>
      <c r="B36" s="25"/>
      <c r="C36" s="25"/>
      <c r="D36" s="12"/>
      <c r="E36" s="13">
        <f>SUM(E32:E35)</f>
        <v>188800</v>
      </c>
      <c r="F36" s="14">
        <f>SUM(F32:F35)</f>
        <v>0</v>
      </c>
      <c r="G36" s="15">
        <f>E36-F36</f>
        <v>188800</v>
      </c>
      <c r="H36" s="12"/>
    </row>
    <row r="37" spans="1:8" ht="18" customHeight="1" x14ac:dyDescent="0.2">
      <c r="A37" s="32" t="s">
        <v>89</v>
      </c>
      <c r="B37" s="23"/>
      <c r="C37" s="23"/>
      <c r="D37" s="23"/>
      <c r="E37" s="23"/>
      <c r="F37" s="23"/>
      <c r="G37" s="23"/>
      <c r="H37" s="23"/>
    </row>
    <row r="38" spans="1:8" ht="17" customHeight="1" x14ac:dyDescent="0.2">
      <c r="A38" s="2" t="s">
        <v>90</v>
      </c>
      <c r="B38" s="3" t="s">
        <v>91</v>
      </c>
      <c r="C38" s="4">
        <v>1</v>
      </c>
      <c r="D38" s="5">
        <v>50000</v>
      </c>
      <c r="E38" s="5">
        <v>50000</v>
      </c>
      <c r="F38" s="16">
        <v>50000</v>
      </c>
      <c r="G38" s="17">
        <f>E38-F38</f>
        <v>0</v>
      </c>
      <c r="H38" s="6" t="s">
        <v>92</v>
      </c>
    </row>
    <row r="39" spans="1:8" ht="17" customHeight="1" x14ac:dyDescent="0.2">
      <c r="A39" s="2" t="s">
        <v>93</v>
      </c>
      <c r="B39" s="3" t="s">
        <v>94</v>
      </c>
      <c r="C39" s="4"/>
      <c r="D39" s="5"/>
      <c r="E39" s="5">
        <v>100000</v>
      </c>
      <c r="F39" s="16">
        <v>100000</v>
      </c>
      <c r="G39" s="17">
        <f>E39-F39</f>
        <v>0</v>
      </c>
      <c r="H39" s="6" t="s">
        <v>95</v>
      </c>
    </row>
    <row r="40" spans="1:8" ht="17" customHeight="1" x14ac:dyDescent="0.2">
      <c r="A40" s="2" t="s">
        <v>96</v>
      </c>
      <c r="B40" s="3" t="s">
        <v>97</v>
      </c>
      <c r="C40" s="4"/>
      <c r="D40" s="5"/>
      <c r="E40" s="5"/>
      <c r="F40" s="5"/>
      <c r="G40" s="5"/>
      <c r="H40" s="6" t="s">
        <v>98</v>
      </c>
    </row>
    <row r="41" spans="1:8" ht="17" customHeight="1" x14ac:dyDescent="0.2">
      <c r="A41" s="2" t="s">
        <v>99</v>
      </c>
      <c r="B41" s="3" t="s">
        <v>100</v>
      </c>
      <c r="C41" s="4"/>
      <c r="D41" s="5"/>
      <c r="E41" s="5"/>
      <c r="F41" s="5"/>
      <c r="G41" s="5"/>
      <c r="H41" s="6" t="s">
        <v>101</v>
      </c>
    </row>
    <row r="42" spans="1:8" ht="17" customHeight="1" x14ac:dyDescent="0.2">
      <c r="A42" s="2" t="s">
        <v>102</v>
      </c>
      <c r="B42" s="3" t="s">
        <v>103</v>
      </c>
      <c r="C42" s="4"/>
      <c r="D42" s="5"/>
      <c r="E42" s="5"/>
      <c r="F42" s="5"/>
      <c r="G42" s="5"/>
      <c r="H42" s="6" t="s">
        <v>104</v>
      </c>
    </row>
    <row r="43" spans="1:8" ht="18" customHeight="1" x14ac:dyDescent="0.2">
      <c r="A43" s="24" t="s">
        <v>105</v>
      </c>
      <c r="B43" s="25"/>
      <c r="C43" s="25"/>
      <c r="D43" s="12"/>
      <c r="E43" s="13">
        <f>SUM(E38:E42)</f>
        <v>150000</v>
      </c>
      <c r="F43" s="14">
        <f>SUM(F38:F42)</f>
        <v>150000</v>
      </c>
      <c r="G43" s="15">
        <f>E43-F43</f>
        <v>0</v>
      </c>
      <c r="H43" s="12"/>
    </row>
    <row r="44" spans="1:8" ht="18" customHeight="1" x14ac:dyDescent="0.2">
      <c r="A44" s="30" t="s">
        <v>106</v>
      </c>
      <c r="B44" s="23"/>
      <c r="C44" s="23"/>
      <c r="D44" s="23"/>
      <c r="E44" s="23"/>
      <c r="F44" s="23"/>
      <c r="G44" s="23"/>
      <c r="H44" s="23"/>
    </row>
    <row r="45" spans="1:8" ht="17" customHeight="1" x14ac:dyDescent="0.2">
      <c r="A45" s="2" t="s">
        <v>107</v>
      </c>
      <c r="B45" s="3" t="s">
        <v>108</v>
      </c>
      <c r="C45" s="4"/>
      <c r="D45" s="5"/>
      <c r="E45" s="5"/>
      <c r="F45" s="5"/>
      <c r="G45" s="5"/>
      <c r="H45" s="6" t="s">
        <v>109</v>
      </c>
    </row>
    <row r="46" spans="1:8" ht="17" customHeight="1" x14ac:dyDescent="0.2">
      <c r="A46" s="2" t="s">
        <v>107</v>
      </c>
      <c r="B46" s="3" t="s">
        <v>110</v>
      </c>
      <c r="C46" s="4"/>
      <c r="D46" s="5"/>
      <c r="E46" s="5"/>
      <c r="F46" s="5"/>
      <c r="G46" s="5"/>
      <c r="H46" s="6" t="s">
        <v>109</v>
      </c>
    </row>
    <row r="47" spans="1:8" ht="17" customHeight="1" x14ac:dyDescent="0.2">
      <c r="A47" s="2" t="s">
        <v>107</v>
      </c>
      <c r="B47" s="3" t="s">
        <v>111</v>
      </c>
      <c r="C47" s="4"/>
      <c r="D47" s="5"/>
      <c r="E47" s="5"/>
      <c r="F47" s="5"/>
      <c r="G47" s="5"/>
      <c r="H47" s="6" t="s">
        <v>109</v>
      </c>
    </row>
    <row r="48" spans="1:8" ht="17" customHeight="1" x14ac:dyDescent="0.2">
      <c r="A48" s="2" t="s">
        <v>107</v>
      </c>
      <c r="B48" s="3" t="s">
        <v>112</v>
      </c>
      <c r="C48" s="4"/>
      <c r="D48" s="5"/>
      <c r="E48" s="5"/>
      <c r="F48" s="5"/>
      <c r="G48" s="5"/>
      <c r="H48" s="6" t="s">
        <v>109</v>
      </c>
    </row>
    <row r="49" spans="1:8" ht="17" customHeight="1" x14ac:dyDescent="0.2">
      <c r="A49" s="2" t="s">
        <v>107</v>
      </c>
      <c r="B49" s="3" t="s">
        <v>113</v>
      </c>
      <c r="C49" s="4"/>
      <c r="D49" s="5"/>
      <c r="E49" s="5"/>
      <c r="F49" s="5"/>
      <c r="G49" s="5"/>
      <c r="H49" s="6" t="s">
        <v>109</v>
      </c>
    </row>
    <row r="50" spans="1:8" ht="17" customHeight="1" x14ac:dyDescent="0.2">
      <c r="A50" s="2" t="s">
        <v>107</v>
      </c>
      <c r="B50" s="3" t="s">
        <v>114</v>
      </c>
      <c r="C50" s="4"/>
      <c r="D50" s="5"/>
      <c r="E50" s="5"/>
      <c r="F50" s="5"/>
      <c r="G50" s="5"/>
      <c r="H50" s="6" t="s">
        <v>109</v>
      </c>
    </row>
    <row r="51" spans="1:8" ht="17" customHeight="1" x14ac:dyDescent="0.2">
      <c r="A51" s="2" t="s">
        <v>107</v>
      </c>
      <c r="B51" s="3" t="s">
        <v>115</v>
      </c>
      <c r="C51" s="4"/>
      <c r="D51" s="5"/>
      <c r="E51" s="5"/>
      <c r="F51" s="5"/>
      <c r="G51" s="5"/>
      <c r="H51" s="6" t="s">
        <v>109</v>
      </c>
    </row>
    <row r="52" spans="1:8" ht="17" customHeight="1" x14ac:dyDescent="0.2">
      <c r="A52" s="2" t="s">
        <v>107</v>
      </c>
      <c r="B52" s="3" t="s">
        <v>116</v>
      </c>
      <c r="C52" s="4"/>
      <c r="D52" s="5"/>
      <c r="E52" s="5"/>
      <c r="F52" s="5"/>
      <c r="G52" s="5"/>
      <c r="H52" s="6" t="s">
        <v>109</v>
      </c>
    </row>
    <row r="53" spans="1:8" ht="17" customHeight="1" x14ac:dyDescent="0.2">
      <c r="A53" s="2" t="s">
        <v>107</v>
      </c>
      <c r="B53" s="3" t="s">
        <v>117</v>
      </c>
      <c r="C53" s="4"/>
      <c r="D53" s="5"/>
      <c r="E53" s="5"/>
      <c r="F53" s="5"/>
      <c r="G53" s="5"/>
      <c r="H53" s="6" t="s">
        <v>109</v>
      </c>
    </row>
    <row r="54" spans="1:8" ht="17" customHeight="1" x14ac:dyDescent="0.2">
      <c r="A54" s="2" t="s">
        <v>107</v>
      </c>
      <c r="B54" s="3" t="s">
        <v>118</v>
      </c>
      <c r="C54" s="4"/>
      <c r="D54" s="5"/>
      <c r="E54" s="5"/>
      <c r="F54" s="5"/>
      <c r="G54" s="5"/>
      <c r="H54" s="6" t="s">
        <v>109</v>
      </c>
    </row>
    <row r="55" spans="1:8" ht="17" customHeight="1" x14ac:dyDescent="0.2">
      <c r="A55" s="2" t="s">
        <v>107</v>
      </c>
      <c r="B55" s="3" t="s">
        <v>119</v>
      </c>
      <c r="C55" s="4"/>
      <c r="D55" s="5"/>
      <c r="E55" s="5"/>
      <c r="F55" s="5"/>
      <c r="G55" s="5"/>
      <c r="H55" s="6" t="s">
        <v>109</v>
      </c>
    </row>
    <row r="57" spans="1:8" ht="24" customHeight="1" x14ac:dyDescent="0.2">
      <c r="A57" s="29" t="s">
        <v>120</v>
      </c>
      <c r="B57" s="23"/>
      <c r="C57" s="23"/>
      <c r="D57" s="23"/>
      <c r="E57" s="18">
        <f>E19+E23+E30+E36+E43</f>
        <v>3014126</v>
      </c>
      <c r="F57" s="19">
        <f>F19+F23+F30+F36+F43</f>
        <v>452750</v>
      </c>
      <c r="G57" s="20">
        <f>E57-F57</f>
        <v>2561376</v>
      </c>
      <c r="H57" s="21" t="s">
        <v>121</v>
      </c>
    </row>
    <row r="58" spans="1:8" ht="18" customHeight="1" x14ac:dyDescent="0.2">
      <c r="A58" s="33" t="s">
        <v>122</v>
      </c>
      <c r="B58" s="23"/>
      <c r="C58" s="23"/>
      <c r="D58" s="23"/>
      <c r="E58" s="23"/>
      <c r="F58" s="23"/>
      <c r="G58" s="23"/>
      <c r="H58" s="23"/>
    </row>
  </sheetData>
  <mergeCells count="15">
    <mergeCell ref="A1:H1"/>
    <mergeCell ref="A37:H37"/>
    <mergeCell ref="A31:H31"/>
    <mergeCell ref="A58:H58"/>
    <mergeCell ref="A2:H2"/>
    <mergeCell ref="A43:C43"/>
    <mergeCell ref="A57:D57"/>
    <mergeCell ref="A30:C30"/>
    <mergeCell ref="A44:H44"/>
    <mergeCell ref="A4:H4"/>
    <mergeCell ref="A19:C19"/>
    <mergeCell ref="A36:C36"/>
    <mergeCell ref="A23:C23"/>
    <mergeCell ref="A20:H20"/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Mindwise ai</cp:lastModifiedBy>
  <dcterms:created xsi:type="dcterms:W3CDTF">2026-06-30T06:53:34Z</dcterms:created>
  <dcterms:modified xsi:type="dcterms:W3CDTF">2026-06-30T07:38:10Z</dcterms:modified>
</cp:coreProperties>
</file>